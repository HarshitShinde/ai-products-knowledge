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eniferValliara\Downloads\"/>
    </mc:Choice>
  </mc:AlternateContent>
  <xr:revisionPtr revIDLastSave="0" documentId="13_ncr:1_{1B2EE35E-B6B0-495D-9F00-BBB10A00EE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sts" sheetId="5" r:id="rId1"/>
    <sheet name="Sheet1" sheetId="6" r:id="rId2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5" l="1"/>
  <c r="D44" i="5"/>
  <c r="D43" i="5"/>
  <c r="D42" i="5"/>
  <c r="D49" i="5"/>
  <c r="D18" i="5"/>
  <c r="D19" i="5"/>
  <c r="D20" i="5"/>
  <c r="D21" i="5"/>
  <c r="D17" i="5"/>
  <c r="D24" i="5"/>
  <c r="D8" i="5"/>
  <c r="D9" i="5"/>
  <c r="D7" i="5"/>
  <c r="D12" i="5"/>
  <c r="E35" i="5"/>
  <c r="F35" i="5"/>
  <c r="E31" i="5"/>
  <c r="F31" i="5"/>
  <c r="E32" i="5"/>
  <c r="F32" i="5"/>
  <c r="E33" i="5"/>
  <c r="F33" i="5"/>
  <c r="E34" i="5"/>
  <c r="F34" i="5"/>
  <c r="E30" i="5"/>
  <c r="F30" i="5"/>
  <c r="F37" i="5"/>
  <c r="D54" i="5"/>
  <c r="D57" i="5"/>
  <c r="D63" i="5"/>
</calcChain>
</file>

<file path=xl/sharedStrings.xml><?xml version="1.0" encoding="utf-8"?>
<sst xmlns="http://schemas.openxmlformats.org/spreadsheetml/2006/main" count="50" uniqueCount="43">
  <si>
    <t>SOFTWARE COSTS</t>
  </si>
  <si>
    <t>ITEM</t>
  </si>
  <si>
    <t>RATE PER UNIT</t>
  </si>
  <si>
    <t>NUMBER OF UNITS</t>
  </si>
  <si>
    <t>RATE</t>
  </si>
  <si>
    <t>Software licences</t>
  </si>
  <si>
    <t>Database user licences</t>
  </si>
  <si>
    <t>Other licences</t>
  </si>
  <si>
    <t>Total Sofware Costs</t>
  </si>
  <si>
    <t>HARDWARE AND NETWORK COSTS</t>
  </si>
  <si>
    <t>RATE PER UNIT/YEAR</t>
  </si>
  <si>
    <t>Servers (new or upgraded, dedicated or shared)</t>
  </si>
  <si>
    <t>PC's (new or upgrades)</t>
  </si>
  <si>
    <t>Additinal memory, CPU</t>
  </si>
  <si>
    <t>Cloud services</t>
  </si>
  <si>
    <t>Cabling or wireless network</t>
  </si>
  <si>
    <t>Total Hardware Costs</t>
  </si>
  <si>
    <t>LABOR COSTS</t>
  </si>
  <si>
    <t>PROJECT ROLE</t>
  </si>
  <si>
    <t xml:space="preserve">NUMBER OF PEOPLE </t>
  </si>
  <si>
    <t>RATE PER DAY ($)</t>
  </si>
  <si>
    <t>NUMBER OF DAYS</t>
  </si>
  <si>
    <t>TOTAL NUMBER 
OF DAYS</t>
  </si>
  <si>
    <t>TOTAL RATE</t>
  </si>
  <si>
    <t>Project Manager</t>
  </si>
  <si>
    <t>Project Leader</t>
  </si>
  <si>
    <t>Systems Analyst</t>
  </si>
  <si>
    <t>Lead Developer</t>
  </si>
  <si>
    <t>Developers</t>
  </si>
  <si>
    <t>System Testers</t>
  </si>
  <si>
    <t>Total Labour Costs</t>
  </si>
  <si>
    <t>ONGOING/MAINTENANCE COSTS</t>
  </si>
  <si>
    <t>ANNUAL MAINTENANCE FOR:</t>
  </si>
  <si>
    <t>Software</t>
  </si>
  <si>
    <t>Hardware</t>
  </si>
  <si>
    <t>Database</t>
  </si>
  <si>
    <t>Cloud services- disaster recovery</t>
  </si>
  <si>
    <t>Total Ongoing Costs</t>
  </si>
  <si>
    <t>CONTINGENCY COSTS</t>
  </si>
  <si>
    <t>10% of total implementation costs</t>
  </si>
  <si>
    <t>Total Contingency Cost</t>
  </si>
  <si>
    <t>Project cost calculations</t>
  </si>
  <si>
    <t>Total project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</si>
</sst>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&quot; &quot;&quot;$&quot;* #,##0.00&quot; &quot;;&quot; &quot;&quot;$&quot;* \(#,##0.00\);&quot; &quot;&quot;$&quot;* &quot;-&quot;??&quot; &quot;"/>
    <numFmt numFmtId="166" formatCode="&quot;$&quot;#,##0.0;[Red]\-&quot;$&quot;#,##0.0"/>
    <numFmt numFmtId="167" formatCode="&quot;$&quot;#,##0.00"/>
  </numFmts>
  <fonts count="13" x14ac:knownFonts="1">
    <font>
      <sz val="12"/>
      <color indexed="8"/>
      <name val="Calibri"/>
    </font>
    <font>
      <sz val="9"/>
      <color indexed="8"/>
      <name val="Century Gothic"/>
      <family val="1"/>
    </font>
    <font>
      <b/>
      <sz val="9"/>
      <color indexed="13"/>
      <name val="Century Gothic"/>
      <family val="1"/>
    </font>
    <font>
      <sz val="10"/>
      <color indexed="8"/>
      <name val="Century Gothic"/>
      <family val="1"/>
    </font>
    <font>
      <b/>
      <sz val="20"/>
      <color indexed="18"/>
      <name val="Century Gothic"/>
      <family val="1"/>
    </font>
    <font>
      <b/>
      <sz val="10"/>
      <color indexed="13"/>
      <name val="Century Gothic"/>
      <family val="1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0"/>
      <color rgb="FF000000"/>
      <name val="Arial"/>
      <family val="2"/>
    </font>
    <font>
      <sz val="12"/>
      <color indexed="8"/>
      <name val="Century Gothic"/>
      <family val="1"/>
    </font>
    <font>
      <sz val="12"/>
      <color rgb="FF000000"/>
      <name val="Arial"/>
      <family val="2"/>
    </font>
    <font>
      <b/>
      <sz val="14"/>
      <color indexed="8"/>
      <name val="Calibri"/>
      <family val="2"/>
    </font>
    <font>
      <b/>
      <sz val="20"/>
      <color rgb="FF5F5F5F"/>
      <name val="Century Gothic"/>
      <family val="1"/>
    </font>
  </fonts>
  <fills count="7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20"/>
        <bgColor auto="1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</fills>
  <borders count="14">
    <border>
      <left/>
      <right/>
      <top/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/>
      <diagonal/>
    </border>
    <border>
      <left style="thin">
        <color indexed="15"/>
      </left>
      <right/>
      <top style="thin">
        <color indexed="15"/>
      </top>
      <bottom/>
      <diagonal/>
    </border>
    <border>
      <left style="thin">
        <color indexed="15"/>
      </left>
      <right style="thin">
        <color rgb="FF000000"/>
      </right>
      <top style="thin">
        <color indexed="15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15"/>
      </left>
      <right style="thin">
        <color rgb="FF000000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rgb="FF000000"/>
      </bottom>
      <diagonal/>
    </border>
    <border>
      <left style="thin">
        <color indexed="15"/>
      </left>
      <right style="thin">
        <color rgb="FF000000"/>
      </right>
      <top style="thin">
        <color indexed="1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</borders>
  <cellStyleXfs count="1">
    <xf numFmtId="0" fontId="0" fillId="0" borderId="0" applyNumberFormat="0" applyFill="0" applyBorder="0" applyProtection="0"/>
  </cellStyleXfs>
  <cellXfs count="71">
    <xf numFmtId="0" fontId="0" fillId="0" borderId="0" xfId="0"/>
    <xf numFmtId="165" fontId="3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49" fontId="0" fillId="4" borderId="1" xfId="0" applyNumberFormat="1" applyFill="1" applyBorder="1"/>
    <xf numFmtId="0" fontId="0" fillId="0" borderId="1" xfId="0" applyBorder="1"/>
    <xf numFmtId="165" fontId="0" fillId="2" borderId="1" xfId="0" applyNumberFormat="1" applyFill="1" applyBorder="1" applyAlignment="1">
      <alignment vertical="center"/>
    </xf>
    <xf numFmtId="0" fontId="0" fillId="0" borderId="0" xfId="0" applyNumberFormat="1"/>
    <xf numFmtId="0" fontId="4" fillId="0" borderId="0" xfId="0" applyFont="1" applyAlignment="1">
      <alignment horizontal="center" vertical="center"/>
    </xf>
    <xf numFmtId="165" fontId="3" fillId="2" borderId="0" xfId="0" applyNumberFormat="1" applyFont="1" applyFill="1" applyBorder="1" applyAlignment="1">
      <alignment vertical="center"/>
    </xf>
    <xf numFmtId="0" fontId="6" fillId="0" borderId="0" xfId="0" applyFont="1" applyBorder="1" applyAlignment="1">
      <alignment wrapText="1" readingOrder="1"/>
    </xf>
    <xf numFmtId="0" fontId="7" fillId="0" borderId="0" xfId="0" applyFont="1" applyBorder="1" applyAlignment="1">
      <alignment wrapText="1" readingOrder="1"/>
    </xf>
    <xf numFmtId="0" fontId="0" fillId="0" borderId="0" xfId="0" applyBorder="1"/>
    <xf numFmtId="167" fontId="0" fillId="0" borderId="3" xfId="0" applyNumberFormat="1" applyBorder="1"/>
    <xf numFmtId="0" fontId="3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 wrapText="1"/>
    </xf>
    <xf numFmtId="165" fontId="0" fillId="2" borderId="0" xfId="0" applyNumberFormat="1" applyFill="1" applyBorder="1" applyAlignment="1">
      <alignment vertical="center"/>
    </xf>
    <xf numFmtId="49" fontId="5" fillId="5" borderId="0" xfId="0" applyNumberFormat="1" applyFont="1" applyFill="1" applyBorder="1" applyAlignment="1">
      <alignment horizontal="left" vertical="center" wrapText="1"/>
    </xf>
    <xf numFmtId="0" fontId="0" fillId="5" borderId="0" xfId="0" applyFill="1" applyBorder="1"/>
    <xf numFmtId="49" fontId="5" fillId="3" borderId="7" xfId="0" applyNumberFormat="1" applyFont="1" applyFill="1" applyBorder="1" applyAlignment="1">
      <alignment horizontal="left" vertical="center" wrapText="1"/>
    </xf>
    <xf numFmtId="0" fontId="0" fillId="0" borderId="8" xfId="0" applyBorder="1"/>
    <xf numFmtId="165" fontId="3" fillId="2" borderId="9" xfId="0" applyNumberFormat="1" applyFont="1" applyFill="1" applyBorder="1" applyAlignment="1">
      <alignment vertical="center"/>
    </xf>
    <xf numFmtId="49" fontId="0" fillId="4" borderId="10" xfId="0" applyNumberFormat="1" applyFill="1" applyBorder="1"/>
    <xf numFmtId="0" fontId="0" fillId="0" borderId="10" xfId="0" applyBorder="1"/>
    <xf numFmtId="49" fontId="3" fillId="2" borderId="0" xfId="0" applyNumberFormat="1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49" fontId="3" fillId="5" borderId="0" xfId="0" applyNumberFormat="1" applyFont="1" applyFill="1" applyBorder="1" applyAlignment="1">
      <alignment horizontal="left" vertical="center" wrapText="1"/>
    </xf>
    <xf numFmtId="0" fontId="3" fillId="5" borderId="0" xfId="0" applyFont="1" applyFill="1" applyBorder="1" applyAlignment="1">
      <alignment horizontal="left" vertical="center" wrapText="1"/>
    </xf>
    <xf numFmtId="165" fontId="3" fillId="5" borderId="0" xfId="0" applyNumberFormat="1" applyFont="1" applyFill="1" applyBorder="1" applyAlignment="1">
      <alignment vertical="center"/>
    </xf>
    <xf numFmtId="167" fontId="9" fillId="2" borderId="1" xfId="0" applyNumberFormat="1" applyFont="1" applyFill="1" applyBorder="1" applyAlignment="1">
      <alignment horizontal="left" vertical="center"/>
    </xf>
    <xf numFmtId="167" fontId="9" fillId="2" borderId="1" xfId="0" applyNumberFormat="1" applyFont="1" applyFill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wrapText="1" readingOrder="1"/>
    </xf>
    <xf numFmtId="49" fontId="2" fillId="5" borderId="0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vertical="center"/>
    </xf>
    <xf numFmtId="0" fontId="8" fillId="0" borderId="0" xfId="0" applyFont="1" applyBorder="1" applyAlignment="1">
      <alignment wrapText="1" readingOrder="1"/>
    </xf>
    <xf numFmtId="49" fontId="9" fillId="2" borderId="5" xfId="0" applyNumberFormat="1" applyFont="1" applyFill="1" applyBorder="1" applyAlignment="1">
      <alignment horizontal="left" vertical="center" wrapText="1"/>
    </xf>
    <xf numFmtId="167" fontId="9" fillId="2" borderId="5" xfId="0" applyNumberFormat="1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right" vertical="center"/>
    </xf>
    <xf numFmtId="167" fontId="0" fillId="0" borderId="12" xfId="0" applyNumberFormat="1" applyBorder="1"/>
    <xf numFmtId="49" fontId="9" fillId="2" borderId="0" xfId="0" applyNumberFormat="1" applyFont="1" applyFill="1" applyBorder="1" applyAlignment="1">
      <alignment horizontal="left" vertical="center" wrapText="1"/>
    </xf>
    <xf numFmtId="167" fontId="9" fillId="2" borderId="0" xfId="0" applyNumberFormat="1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right" vertical="center"/>
    </xf>
    <xf numFmtId="167" fontId="0" fillId="0" borderId="0" xfId="0" applyNumberFormat="1" applyBorder="1"/>
    <xf numFmtId="49" fontId="0" fillId="4" borderId="13" xfId="0" applyNumberFormat="1" applyFill="1" applyBorder="1"/>
    <xf numFmtId="0" fontId="0" fillId="0" borderId="13" xfId="0" applyBorder="1"/>
    <xf numFmtId="0" fontId="11" fillId="0" borderId="0" xfId="0" applyFont="1"/>
    <xf numFmtId="0" fontId="9" fillId="2" borderId="1" xfId="0" applyFont="1" applyFill="1" applyBorder="1" applyAlignment="1">
      <alignment horizontal="left" vertical="center"/>
    </xf>
    <xf numFmtId="166" fontId="9" fillId="2" borderId="1" xfId="0" applyNumberFormat="1" applyFont="1" applyFill="1" applyBorder="1" applyAlignment="1">
      <alignment horizontal="left" vertical="center"/>
    </xf>
    <xf numFmtId="1" fontId="9" fillId="2" borderId="1" xfId="0" applyNumberFormat="1" applyFont="1" applyFill="1" applyBorder="1" applyAlignment="1">
      <alignment vertical="center"/>
    </xf>
    <xf numFmtId="166" fontId="9" fillId="2" borderId="1" xfId="0" applyNumberFormat="1" applyFont="1" applyFill="1" applyBorder="1" applyAlignment="1">
      <alignment horizontal="left" vertical="center" wrapText="1"/>
    </xf>
    <xf numFmtId="165" fontId="9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165" fontId="0" fillId="2" borderId="1" xfId="0" applyNumberFormat="1" applyFill="1" applyBorder="1" applyAlignment="1">
      <alignment horizontal="right" vertical="center"/>
    </xf>
    <xf numFmtId="0" fontId="0" fillId="6" borderId="13" xfId="0" applyFill="1" applyBorder="1"/>
    <xf numFmtId="0" fontId="0" fillId="0" borderId="0" xfId="0" applyAlignment="1">
      <alignment horizontal="right"/>
    </xf>
    <xf numFmtId="164" fontId="0" fillId="6" borderId="13" xfId="0" applyNumberFormat="1" applyFill="1" applyBorder="1" applyAlignment="1">
      <alignment horizontal="right"/>
    </xf>
    <xf numFmtId="165" fontId="0" fillId="2" borderId="13" xfId="0" applyNumberFormat="1" applyFill="1" applyBorder="1" applyAlignment="1">
      <alignment horizontal="right" vertical="center"/>
    </xf>
    <xf numFmtId="165" fontId="0" fillId="2" borderId="11" xfId="0" applyNumberFormat="1" applyFill="1" applyBorder="1" applyAlignment="1">
      <alignment horizontal="right" vertical="center"/>
    </xf>
    <xf numFmtId="0" fontId="0" fillId="5" borderId="0" xfId="0" applyFill="1" applyBorder="1" applyAlignment="1">
      <alignment horizontal="right"/>
    </xf>
    <xf numFmtId="164" fontId="0" fillId="5" borderId="0" xfId="0" applyNumberFormat="1" applyFill="1" applyBorder="1" applyAlignment="1">
      <alignment horizontal="right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A5A5A5"/>
      <rgbColor rgb="FFFFFFFF"/>
      <rgbColor rgb="FF3F3F3F"/>
      <rgbColor rgb="FFBFBFBF"/>
      <rgbColor rgb="FF222A35"/>
      <rgbColor rgb="FF333F4F"/>
      <rgbColor rgb="FFA5A5A5"/>
      <rgbColor rgb="FFBDC0BF"/>
      <rgbColor rgb="FFDBDBDB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38100</xdr:rowOff>
    </xdr:from>
    <xdr:to>
      <xdr:col>1</xdr:col>
      <xdr:colOff>821654</xdr:colOff>
      <xdr:row>2</xdr:row>
      <xdr:rowOff>113330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E8FF5D-1F89-433D-972B-8CEB27813F10}"/>
            </a:ext>
            <a:ext uri="{147F2762-F138-4A5C-976F-8EAC2B608ADB}">
              <a16:predDERef xmlns:a16="http://schemas.microsoft.com/office/drawing/2014/main" pred="{893E0307-96C4-4A64-9ECE-BB2F086848B4}"/>
            </a:ext>
          </a:extLst>
        </xdr:cNvPr>
        <xdr:cNvSpPr txBox="1"/>
      </xdr:nvSpPr>
      <xdr:spPr>
        <a:xfrm>
          <a:off x="57150" y="38100"/>
          <a:ext cx="4041104" cy="40543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xmlns:lc="http://schemas.openxmlformats.org/drawingml/2006/lockedCanvas" val="1"/>
          </a:ext>
        </a:extLst>
      </xdr:spPr>
      <xdr:txBody>
        <a:bodyPr wrap="none" lIns="45719" tIns="45719" rIns="45719" bIns="45719" numCol="1" anchor="t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lang="en-US" sz="20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NLP</a:t>
          </a:r>
          <a:r>
            <a:rPr sz="2000" b="0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 INTEGRATION COST EVALUATION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4:M65"/>
  <sheetViews>
    <sheetView showGridLines="0" tabSelected="1" topLeftCell="A24" workbookViewId="0">
      <selection activeCell="C30" sqref="C30:C35"/>
    </sheetView>
  </sheetViews>
  <sheetFormatPr defaultColWidth="10" defaultRowHeight="13" customHeight="1" x14ac:dyDescent="0.35"/>
  <cols>
    <col min="1" max="1" width="43" customWidth="1"/>
    <col min="2" max="2" width="25.5" bestFit="1" customWidth="1"/>
    <col min="3" max="3" width="15.33203125" bestFit="1" customWidth="1"/>
    <col min="4" max="4" width="15.1640625" bestFit="1" customWidth="1"/>
    <col min="6" max="6" width="11.83203125" customWidth="1"/>
    <col min="9" max="9" width="34.33203125" customWidth="1"/>
    <col min="11" max="11" width="27.33203125" customWidth="1"/>
  </cols>
  <sheetData>
    <row r="4" spans="1:7" ht="13" customHeight="1" x14ac:dyDescent="0.35">
      <c r="A4" s="38"/>
      <c r="B4" s="38"/>
      <c r="C4" s="38"/>
      <c r="D4" s="37"/>
      <c r="E4" s="37"/>
      <c r="F4" s="9"/>
      <c r="G4" s="9"/>
    </row>
    <row r="5" spans="1:7" ht="27" customHeight="1" x14ac:dyDescent="0.35">
      <c r="A5" s="68" t="s">
        <v>0</v>
      </c>
      <c r="B5" s="10"/>
      <c r="C5" s="10"/>
      <c r="D5" s="10"/>
      <c r="E5" s="10"/>
      <c r="F5" s="10"/>
      <c r="G5" s="10"/>
    </row>
    <row r="6" spans="1:7" ht="13" customHeight="1" x14ac:dyDescent="0.35">
      <c r="A6" s="2" t="s">
        <v>1</v>
      </c>
      <c r="B6" s="2" t="s">
        <v>2</v>
      </c>
      <c r="C6" s="2" t="s">
        <v>3</v>
      </c>
      <c r="D6" s="21" t="s">
        <v>4</v>
      </c>
      <c r="E6" s="19"/>
      <c r="F6" s="19"/>
      <c r="G6" s="20"/>
    </row>
    <row r="7" spans="1:7" ht="13" customHeight="1" x14ac:dyDescent="0.35">
      <c r="A7" s="33" t="s">
        <v>5</v>
      </c>
      <c r="B7" s="31">
        <v>500</v>
      </c>
      <c r="C7" s="16">
        <v>1</v>
      </c>
      <c r="D7" s="15">
        <f>C7*B7</f>
        <v>500</v>
      </c>
      <c r="E7" s="11"/>
      <c r="F7" s="11"/>
      <c r="G7" s="14"/>
    </row>
    <row r="8" spans="1:7" ht="13" customHeight="1" x14ac:dyDescent="0.35">
      <c r="A8" s="34" t="s">
        <v>6</v>
      </c>
      <c r="B8" s="32">
        <v>500</v>
      </c>
      <c r="C8" s="17">
        <v>1</v>
      </c>
      <c r="D8" s="15">
        <f t="shared" ref="D8:D9" si="0">C8*B8</f>
        <v>500</v>
      </c>
      <c r="E8" s="11"/>
      <c r="F8" s="11"/>
      <c r="G8" s="14"/>
    </row>
    <row r="9" spans="1:7" ht="13" customHeight="1" x14ac:dyDescent="0.35">
      <c r="A9" s="34" t="s">
        <v>7</v>
      </c>
      <c r="B9" s="32">
        <v>1000</v>
      </c>
      <c r="C9" s="17">
        <v>1</v>
      </c>
      <c r="D9" s="15">
        <f t="shared" si="0"/>
        <v>1000</v>
      </c>
      <c r="E9" s="11"/>
      <c r="F9" s="11"/>
      <c r="G9" s="14"/>
    </row>
    <row r="10" spans="1:7" ht="13" customHeight="1" x14ac:dyDescent="0.35">
      <c r="A10" s="34"/>
      <c r="B10" s="5"/>
      <c r="C10" s="5"/>
      <c r="D10" s="22"/>
      <c r="E10" s="11"/>
      <c r="F10" s="11"/>
      <c r="G10" s="14"/>
    </row>
    <row r="11" spans="1:7" ht="13" customHeight="1" x14ac:dyDescent="0.35">
      <c r="A11" s="35"/>
      <c r="B11" s="5"/>
      <c r="C11" s="5"/>
      <c r="D11" s="23"/>
      <c r="E11" s="11"/>
      <c r="F11" s="11"/>
      <c r="G11" s="14"/>
    </row>
    <row r="12" spans="1:7" ht="24.75" customHeight="1" x14ac:dyDescent="0.35">
      <c r="A12" s="24" t="s">
        <v>8</v>
      </c>
      <c r="B12" s="25"/>
      <c r="C12" s="25"/>
      <c r="D12" s="62">
        <f>SUM(D7:D9)</f>
        <v>2000</v>
      </c>
      <c r="E12" s="18"/>
      <c r="F12" s="18"/>
      <c r="G12" s="14"/>
    </row>
    <row r="13" spans="1:7" ht="24" customHeight="1" x14ac:dyDescent="0.35"/>
    <row r="15" spans="1:7" ht="26.25" customHeight="1" x14ac:dyDescent="0.35">
      <c r="A15" s="69" t="s">
        <v>9</v>
      </c>
      <c r="B15" s="10"/>
      <c r="C15" s="10"/>
      <c r="D15" s="10"/>
      <c r="E15" s="10"/>
      <c r="F15" s="10"/>
      <c r="G15" s="10"/>
    </row>
    <row r="16" spans="1:7" ht="13" customHeight="1" x14ac:dyDescent="0.35">
      <c r="A16" s="2" t="s">
        <v>1</v>
      </c>
      <c r="B16" s="2" t="s">
        <v>10</v>
      </c>
      <c r="C16" s="2" t="s">
        <v>3</v>
      </c>
      <c r="D16" s="21" t="s">
        <v>4</v>
      </c>
      <c r="E16" s="19"/>
      <c r="F16" s="19"/>
      <c r="G16" s="20"/>
    </row>
    <row r="17" spans="1:9" ht="13" customHeight="1" x14ac:dyDescent="0.35">
      <c r="A17" s="33" t="s">
        <v>11</v>
      </c>
      <c r="B17" s="31">
        <v>1500</v>
      </c>
      <c r="C17" s="16">
        <v>1</v>
      </c>
      <c r="D17" s="15">
        <f>C17*B17</f>
        <v>1500</v>
      </c>
      <c r="E17" s="11"/>
      <c r="F17" s="11"/>
      <c r="G17" s="14"/>
    </row>
    <row r="18" spans="1:9" ht="13" customHeight="1" x14ac:dyDescent="0.35">
      <c r="A18" s="36" t="s">
        <v>12</v>
      </c>
      <c r="B18" s="32">
        <v>1000</v>
      </c>
      <c r="C18" s="16">
        <v>1</v>
      </c>
      <c r="D18" s="15">
        <f t="shared" ref="D18:D21" si="1">C18*B18</f>
        <v>1000</v>
      </c>
      <c r="E18" s="11"/>
      <c r="F18" s="11"/>
      <c r="G18" s="14"/>
      <c r="H18" s="14"/>
      <c r="I18" s="14"/>
    </row>
    <row r="19" spans="1:9" ht="13" customHeight="1" x14ac:dyDescent="0.35">
      <c r="A19" s="34" t="s">
        <v>13</v>
      </c>
      <c r="B19" s="32">
        <v>0</v>
      </c>
      <c r="C19" s="16">
        <v>1</v>
      </c>
      <c r="D19" s="15">
        <f t="shared" si="1"/>
        <v>0</v>
      </c>
      <c r="E19" s="11"/>
      <c r="F19" s="11"/>
      <c r="G19" s="14"/>
      <c r="H19" s="14"/>
      <c r="I19" s="39"/>
    </row>
    <row r="20" spans="1:9" ht="13" customHeight="1" x14ac:dyDescent="0.35">
      <c r="A20" s="34" t="s">
        <v>14</v>
      </c>
      <c r="B20" s="32">
        <v>1000</v>
      </c>
      <c r="C20" s="16">
        <v>1</v>
      </c>
      <c r="D20" s="15">
        <f t="shared" si="1"/>
        <v>1000</v>
      </c>
      <c r="E20" s="11"/>
      <c r="F20" s="11"/>
      <c r="G20" s="14"/>
      <c r="H20" s="14"/>
      <c r="I20" s="39"/>
    </row>
    <row r="21" spans="1:9" ht="13" customHeight="1" x14ac:dyDescent="0.35">
      <c r="A21" s="34" t="s">
        <v>15</v>
      </c>
      <c r="B21" s="32">
        <v>2000</v>
      </c>
      <c r="C21" s="16">
        <v>1</v>
      </c>
      <c r="D21" s="15">
        <f t="shared" si="1"/>
        <v>2000</v>
      </c>
      <c r="E21" s="11"/>
      <c r="F21" s="11"/>
      <c r="G21" s="14"/>
      <c r="H21" s="14"/>
      <c r="I21" s="12"/>
    </row>
    <row r="22" spans="1:9" ht="12.75" customHeight="1" x14ac:dyDescent="0.35">
      <c r="A22" s="4"/>
      <c r="B22" s="5"/>
      <c r="C22" s="5"/>
      <c r="D22" s="22"/>
      <c r="E22" s="11"/>
      <c r="F22" s="11"/>
      <c r="G22" s="14"/>
      <c r="H22" s="14"/>
      <c r="I22" s="12"/>
    </row>
    <row r="23" spans="1:9" ht="13" customHeight="1" x14ac:dyDescent="0.35">
      <c r="A23" s="5"/>
      <c r="B23" s="5"/>
      <c r="C23" s="5"/>
      <c r="D23" s="23"/>
      <c r="E23" s="11"/>
      <c r="F23" s="11"/>
      <c r="G23" s="14"/>
      <c r="H23" s="14"/>
      <c r="I23" s="39"/>
    </row>
    <row r="24" spans="1:9" ht="21.75" customHeight="1" x14ac:dyDescent="0.35">
      <c r="A24" s="24" t="s">
        <v>16</v>
      </c>
      <c r="B24" s="25"/>
      <c r="C24" s="25"/>
      <c r="D24" s="62">
        <f>SUM(D17:D21)</f>
        <v>5500</v>
      </c>
      <c r="E24" s="18"/>
      <c r="F24" s="18"/>
      <c r="G24" s="14"/>
      <c r="H24" s="14"/>
      <c r="I24" s="39"/>
    </row>
    <row r="25" spans="1:9" ht="13" customHeight="1" x14ac:dyDescent="0.35">
      <c r="A25" s="20"/>
      <c r="B25" s="14"/>
      <c r="C25" s="14"/>
      <c r="D25" s="14"/>
      <c r="E25" s="14"/>
      <c r="F25" s="14"/>
      <c r="G25" s="14"/>
      <c r="H25" s="14"/>
      <c r="I25" s="39"/>
    </row>
    <row r="26" spans="1:9" ht="15.75" customHeight="1" x14ac:dyDescent="0.35">
      <c r="A26" s="28"/>
      <c r="B26" s="29"/>
      <c r="C26" s="29"/>
      <c r="D26" s="30"/>
      <c r="E26" s="30"/>
      <c r="F26" s="30"/>
      <c r="G26" s="20"/>
      <c r="H26" s="14"/>
      <c r="I26" s="39"/>
    </row>
    <row r="27" spans="1:9" ht="13.5" customHeight="1" x14ac:dyDescent="0.35">
      <c r="A27" s="28"/>
      <c r="B27" s="29"/>
      <c r="C27" s="29"/>
      <c r="D27" s="30"/>
      <c r="E27" s="30"/>
      <c r="F27" s="30"/>
      <c r="G27" s="20"/>
      <c r="H27" s="14"/>
      <c r="I27" s="39"/>
    </row>
    <row r="28" spans="1:9" ht="30" customHeight="1" x14ac:dyDescent="0.35">
      <c r="A28" s="70" t="s">
        <v>17</v>
      </c>
      <c r="B28" s="67"/>
      <c r="C28" s="67"/>
      <c r="D28" s="67"/>
      <c r="E28" s="10"/>
      <c r="H28" s="14"/>
      <c r="I28" s="39"/>
    </row>
    <row r="29" spans="1:9" ht="43.5" customHeight="1" x14ac:dyDescent="0.35">
      <c r="A29" s="2" t="s">
        <v>18</v>
      </c>
      <c r="B29" s="2" t="s">
        <v>19</v>
      </c>
      <c r="C29" s="2" t="s">
        <v>20</v>
      </c>
      <c r="D29" s="3" t="s">
        <v>21</v>
      </c>
      <c r="E29" s="65" t="s">
        <v>22</v>
      </c>
      <c r="F29" s="65" t="s">
        <v>23</v>
      </c>
      <c r="H29" s="14"/>
      <c r="I29" s="39"/>
    </row>
    <row r="30" spans="1:9" ht="15.75" customHeight="1" x14ac:dyDescent="0.35">
      <c r="A30" s="33" t="s">
        <v>24</v>
      </c>
      <c r="B30" s="51">
        <v>1</v>
      </c>
      <c r="C30" s="52">
        <v>550</v>
      </c>
      <c r="D30" s="53">
        <v>1</v>
      </c>
      <c r="E30" s="53">
        <f>B30*D30</f>
        <v>1</v>
      </c>
      <c r="F30" s="55">
        <f>C30*E30</f>
        <v>550</v>
      </c>
      <c r="H30" s="14"/>
      <c r="I30" s="12"/>
    </row>
    <row r="31" spans="1:9" ht="13" customHeight="1" x14ac:dyDescent="0.35">
      <c r="A31" s="33" t="s">
        <v>25</v>
      </c>
      <c r="B31" s="51">
        <v>1</v>
      </c>
      <c r="C31" s="52">
        <v>500</v>
      </c>
      <c r="D31" s="53">
        <v>2</v>
      </c>
      <c r="E31" s="53">
        <f>B31*D31</f>
        <v>2</v>
      </c>
      <c r="F31" s="55">
        <f t="shared" ref="F31:F34" si="2">C31*E31</f>
        <v>1000</v>
      </c>
      <c r="H31" s="14"/>
      <c r="I31" s="12"/>
    </row>
    <row r="32" spans="1:9" ht="13" customHeight="1" x14ac:dyDescent="0.35">
      <c r="A32" s="34" t="s">
        <v>26</v>
      </c>
      <c r="B32" s="35">
        <v>1</v>
      </c>
      <c r="C32" s="54">
        <v>400</v>
      </c>
      <c r="D32" s="53">
        <v>2</v>
      </c>
      <c r="E32" s="53">
        <f>B32*D32</f>
        <v>2</v>
      </c>
      <c r="F32" s="55">
        <f t="shared" si="2"/>
        <v>800</v>
      </c>
      <c r="H32" s="14"/>
      <c r="I32" s="14"/>
    </row>
    <row r="33" spans="1:13" ht="13" customHeight="1" x14ac:dyDescent="0.35">
      <c r="A33" s="34" t="s">
        <v>27</v>
      </c>
      <c r="B33" s="35">
        <v>1</v>
      </c>
      <c r="C33" s="54">
        <v>350</v>
      </c>
      <c r="D33" s="53">
        <v>7</v>
      </c>
      <c r="E33" s="53">
        <f>B33*D33</f>
        <v>7</v>
      </c>
      <c r="F33" s="55">
        <f t="shared" si="2"/>
        <v>2450</v>
      </c>
      <c r="H33" s="20"/>
      <c r="I33" s="14"/>
    </row>
    <row r="34" spans="1:13" ht="13" customHeight="1" x14ac:dyDescent="0.35">
      <c r="A34" s="34" t="s">
        <v>28</v>
      </c>
      <c r="B34" s="35">
        <v>3</v>
      </c>
      <c r="C34" s="54">
        <v>300</v>
      </c>
      <c r="D34" s="53">
        <v>15</v>
      </c>
      <c r="E34" s="53">
        <f>B34*D34</f>
        <v>45</v>
      </c>
      <c r="F34" s="55">
        <f t="shared" si="2"/>
        <v>13500</v>
      </c>
      <c r="H34" s="20"/>
      <c r="I34" s="14"/>
      <c r="K34" s="12"/>
      <c r="L34" s="13"/>
      <c r="M34" s="14"/>
    </row>
    <row r="35" spans="1:13" ht="13" customHeight="1" x14ac:dyDescent="0.35">
      <c r="A35" s="35" t="s">
        <v>29</v>
      </c>
      <c r="B35" s="35">
        <v>3</v>
      </c>
      <c r="C35" s="54">
        <v>150</v>
      </c>
      <c r="D35" s="53">
        <v>4</v>
      </c>
      <c r="E35" s="53">
        <f>B35*D35</f>
        <v>12</v>
      </c>
      <c r="F35" s="55">
        <f>C35*E35</f>
        <v>1800</v>
      </c>
      <c r="G35" s="20"/>
      <c r="H35" s="20"/>
      <c r="I35" s="14"/>
      <c r="K35" s="12"/>
      <c r="L35" s="13"/>
      <c r="M35" s="14"/>
    </row>
    <row r="36" spans="1:13" ht="13" customHeight="1" x14ac:dyDescent="0.35">
      <c r="A36" s="5"/>
      <c r="B36" s="5"/>
      <c r="C36" s="5"/>
      <c r="D36" s="1"/>
      <c r="E36" s="1"/>
      <c r="F36" s="56"/>
      <c r="G36" s="20"/>
      <c r="H36" s="20"/>
      <c r="I36" s="14"/>
      <c r="K36" s="12"/>
      <c r="L36" s="13"/>
      <c r="M36" s="14"/>
    </row>
    <row r="37" spans="1:13" ht="21" customHeight="1" x14ac:dyDescent="0.35">
      <c r="A37" s="6" t="s">
        <v>30</v>
      </c>
      <c r="B37" s="7"/>
      <c r="C37" s="7"/>
      <c r="D37" s="8"/>
      <c r="E37" s="8"/>
      <c r="F37" s="57">
        <f>SUM(F30:F35)</f>
        <v>20100</v>
      </c>
      <c r="G37" s="20"/>
      <c r="H37" s="20"/>
      <c r="I37" s="14"/>
      <c r="K37" s="12"/>
      <c r="L37" s="13"/>
      <c r="M37" s="14"/>
    </row>
    <row r="38" spans="1:13" ht="13" customHeight="1" x14ac:dyDescent="0.35">
      <c r="A38" s="9"/>
      <c r="B38" s="9"/>
      <c r="C38" s="9"/>
      <c r="D38" s="9"/>
      <c r="E38" s="9"/>
      <c r="F38" s="9"/>
      <c r="G38" s="20"/>
      <c r="H38" s="20"/>
      <c r="I38" s="14"/>
      <c r="K38" s="12"/>
      <c r="L38" s="13"/>
      <c r="M38" s="14"/>
    </row>
    <row r="39" spans="1:13" ht="13" customHeight="1" x14ac:dyDescent="0.35">
      <c r="G39" s="20"/>
      <c r="H39" s="20"/>
      <c r="I39" s="14"/>
      <c r="K39" s="12"/>
      <c r="L39" s="13"/>
      <c r="M39" s="14"/>
    </row>
    <row r="40" spans="1:13" ht="24.75" customHeight="1" x14ac:dyDescent="0.35">
      <c r="A40" s="69" t="s">
        <v>31</v>
      </c>
      <c r="B40" s="10"/>
      <c r="C40" s="10"/>
      <c r="D40" s="10"/>
      <c r="G40" s="20"/>
      <c r="H40" s="20"/>
      <c r="I40" s="14"/>
      <c r="K40" s="14"/>
      <c r="L40" s="14"/>
      <c r="M40" s="14"/>
    </row>
    <row r="41" spans="1:13" ht="13" customHeight="1" x14ac:dyDescent="0.35">
      <c r="A41" s="2" t="s">
        <v>32</v>
      </c>
      <c r="B41" s="2" t="s">
        <v>10</v>
      </c>
      <c r="C41" s="2" t="s">
        <v>3</v>
      </c>
      <c r="D41" s="66" t="s">
        <v>4</v>
      </c>
      <c r="H41" s="14"/>
      <c r="I41" s="14"/>
      <c r="K41" s="14"/>
      <c r="L41" s="14"/>
      <c r="M41" s="14"/>
    </row>
    <row r="42" spans="1:13" ht="13" customHeight="1" x14ac:dyDescent="0.35">
      <c r="A42" s="33" t="s">
        <v>33</v>
      </c>
      <c r="B42" s="31">
        <v>3000</v>
      </c>
      <c r="C42" s="16">
        <v>1</v>
      </c>
      <c r="D42" s="15">
        <f>C42*B42</f>
        <v>3000</v>
      </c>
      <c r="H42" s="14"/>
      <c r="I42" s="14"/>
      <c r="K42" s="14"/>
      <c r="L42" s="14"/>
      <c r="M42" s="14"/>
    </row>
    <row r="43" spans="1:13" ht="13" customHeight="1" x14ac:dyDescent="0.35">
      <c r="A43" s="36" t="s">
        <v>34</v>
      </c>
      <c r="B43" s="32">
        <v>500</v>
      </c>
      <c r="C43" s="16">
        <v>1</v>
      </c>
      <c r="D43" s="15">
        <f t="shared" ref="D43:D45" si="3">C43*B43</f>
        <v>500</v>
      </c>
      <c r="H43" s="14"/>
      <c r="I43" s="14"/>
    </row>
    <row r="44" spans="1:13" ht="13" customHeight="1" x14ac:dyDescent="0.35">
      <c r="A44" s="34" t="s">
        <v>35</v>
      </c>
      <c r="B44" s="32">
        <v>5000</v>
      </c>
      <c r="C44" s="16">
        <v>1</v>
      </c>
      <c r="D44" s="15">
        <f t="shared" si="3"/>
        <v>5000</v>
      </c>
      <c r="H44" s="14"/>
      <c r="I44" s="14"/>
    </row>
    <row r="45" spans="1:13" ht="13" customHeight="1" x14ac:dyDescent="0.35">
      <c r="A45" s="34" t="s">
        <v>36</v>
      </c>
      <c r="B45" s="32">
        <v>1500</v>
      </c>
      <c r="C45" s="16">
        <v>1</v>
      </c>
      <c r="D45" s="15">
        <f t="shared" si="3"/>
        <v>1500</v>
      </c>
      <c r="H45" s="14"/>
      <c r="I45" s="14"/>
    </row>
    <row r="46" spans="1:13" ht="13" customHeight="1" x14ac:dyDescent="0.35">
      <c r="A46" s="34"/>
      <c r="B46" s="32"/>
      <c r="C46" s="16"/>
      <c r="D46" s="15"/>
      <c r="H46" s="14"/>
      <c r="I46" s="14"/>
    </row>
    <row r="47" spans="1:13" ht="13" customHeight="1" x14ac:dyDescent="0.35">
      <c r="A47" s="4"/>
      <c r="B47" s="5"/>
      <c r="C47" s="5"/>
      <c r="D47" s="22"/>
    </row>
    <row r="48" spans="1:13" ht="13" customHeight="1" x14ac:dyDescent="0.35">
      <c r="A48" s="5"/>
      <c r="B48" s="5"/>
      <c r="C48" s="5"/>
      <c r="D48" s="23"/>
    </row>
    <row r="49" spans="1:5" ht="23.25" customHeight="1" x14ac:dyDescent="0.35">
      <c r="A49" s="24" t="s">
        <v>37</v>
      </c>
      <c r="B49" s="25"/>
      <c r="C49" s="25"/>
      <c r="D49" s="62">
        <f>SUM(D42:D46)</f>
        <v>10000</v>
      </c>
    </row>
    <row r="52" spans="1:5" ht="31.5" customHeight="1" x14ac:dyDescent="0.35">
      <c r="A52" s="69" t="s">
        <v>38</v>
      </c>
      <c r="B52" s="10"/>
      <c r="C52" s="10"/>
      <c r="D52" s="10"/>
    </row>
    <row r="53" spans="1:5" ht="13" customHeight="1" x14ac:dyDescent="0.35">
      <c r="A53" s="2"/>
      <c r="B53" s="2"/>
      <c r="C53" s="2"/>
      <c r="D53" s="21" t="s">
        <v>4</v>
      </c>
    </row>
    <row r="54" spans="1:5" ht="13" customHeight="1" x14ac:dyDescent="0.35">
      <c r="A54" s="33" t="s">
        <v>39</v>
      </c>
      <c r="B54" s="31"/>
      <c r="C54" s="16"/>
      <c r="D54" s="15">
        <f>(D12+D24+F37)*0.1</f>
        <v>2760</v>
      </c>
    </row>
    <row r="55" spans="1:5" ht="13" customHeight="1" x14ac:dyDescent="0.35">
      <c r="A55" s="36"/>
      <c r="B55" s="32"/>
      <c r="C55" s="16"/>
      <c r="D55" s="15"/>
    </row>
    <row r="56" spans="1:5" ht="13" customHeight="1" x14ac:dyDescent="0.35">
      <c r="A56" s="40"/>
      <c r="B56" s="41"/>
      <c r="C56" s="42"/>
      <c r="D56" s="43"/>
    </row>
    <row r="57" spans="1:5" ht="27" customHeight="1" x14ac:dyDescent="0.35">
      <c r="A57" s="48" t="s">
        <v>40</v>
      </c>
      <c r="B57" s="49"/>
      <c r="C57" s="49"/>
      <c r="D57" s="61">
        <f>D54</f>
        <v>2760</v>
      </c>
    </row>
    <row r="58" spans="1:5" ht="13" customHeight="1" x14ac:dyDescent="0.35">
      <c r="A58" s="44"/>
      <c r="B58" s="45"/>
      <c r="C58" s="46"/>
      <c r="D58" s="47"/>
    </row>
    <row r="59" spans="1:5" ht="13" customHeight="1" x14ac:dyDescent="0.35">
      <c r="A59" s="26"/>
      <c r="B59" s="27"/>
      <c r="C59" s="27"/>
      <c r="D59" s="14"/>
      <c r="E59" s="14"/>
    </row>
    <row r="60" spans="1:5" ht="13" customHeight="1" x14ac:dyDescent="0.35">
      <c r="A60" s="27"/>
      <c r="B60" s="27"/>
      <c r="C60" s="27"/>
      <c r="D60" s="11"/>
      <c r="E60" s="14"/>
    </row>
    <row r="61" spans="1:5" ht="20.25" customHeight="1" x14ac:dyDescent="0.45">
      <c r="B61" s="50" t="s">
        <v>41</v>
      </c>
    </row>
    <row r="62" spans="1:5" ht="13" customHeight="1" x14ac:dyDescent="0.35">
      <c r="D62" s="59"/>
    </row>
    <row r="63" spans="1:5" ht="16.5" customHeight="1" x14ac:dyDescent="0.35">
      <c r="B63" s="58" t="s">
        <v>42</v>
      </c>
      <c r="C63" s="58"/>
      <c r="D63" s="60">
        <f>(D12+D24+F37+D49+D57)</f>
        <v>40360</v>
      </c>
    </row>
    <row r="64" spans="1:5" ht="13" customHeight="1" x14ac:dyDescent="0.35">
      <c r="B64" s="20"/>
      <c r="C64" s="20"/>
      <c r="D64" s="63"/>
    </row>
    <row r="65" spans="2:4" ht="13" customHeight="1" x14ac:dyDescent="0.35">
      <c r="B65" s="20"/>
      <c r="C65" s="20"/>
      <c r="D65" s="64"/>
    </row>
  </sheetData>
  <mergeCells count="1">
    <mergeCell ref="A28:D28"/>
  </mergeCells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6F6D-839A-46C5-BA42-638C56CA30CB}">
  <dimension ref="A1"/>
  <sheetViews>
    <sheetView workbookViewId="0"/>
  </sheetViews>
  <sheetFormatPr defaultColWidth="8.83203125"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Jenifer Valliara</cp:lastModifiedBy>
  <cp:revision/>
  <dcterms:created xsi:type="dcterms:W3CDTF">2020-12-18T21:34:08Z</dcterms:created>
  <dcterms:modified xsi:type="dcterms:W3CDTF">2025-08-18T19:36:03Z</dcterms:modified>
  <cp:category/>
  <cp:contentStatus/>
</cp:coreProperties>
</file>